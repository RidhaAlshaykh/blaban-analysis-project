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laban analysis project\"/>
    </mc:Choice>
  </mc:AlternateContent>
  <xr:revisionPtr revIDLastSave="0" documentId="13_ncr:1_{5066BD7F-678F-4FC8-85AD-6CB31A7AD9D5}" xr6:coauthVersionLast="47" xr6:coauthVersionMax="47" xr10:uidLastSave="{00000000-0000-0000-0000-000000000000}"/>
  <bookViews>
    <workbookView xWindow="-108" yWindow="-108" windowWidth="23256" windowHeight="12456" tabRatio="651" activeTab="4" xr2:uid="{AF6E0E80-9533-46E3-8E40-BD1348797296}"/>
  </bookViews>
  <sheets>
    <sheet name="riyadh &amp; dubai" sheetId="1" r:id="rId1"/>
    <sheet name="colab branch sales" sheetId="13" r:id="rId2"/>
    <sheet name="customer groups" sheetId="15" r:id="rId3"/>
    <sheet name="sales per month" sheetId="17" r:id="rId4"/>
    <sheet name="dashboard" sheetId="1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 a="1"/>
  <c r="B5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<sst xmlns="http://schemas.openxmlformats.org/spreadsheetml/2006/main" count="80" uniqueCount="31">
  <si>
    <t>month</t>
  </si>
  <si>
    <t>sum</t>
  </si>
  <si>
    <t>Jaunuary</t>
  </si>
  <si>
    <t>Febuary</t>
  </si>
  <si>
    <t>March</t>
  </si>
  <si>
    <t>April</t>
  </si>
  <si>
    <t>Alex Staanly</t>
  </si>
  <si>
    <t>Cairo Zamalek</t>
  </si>
  <si>
    <t>Giza Zayed</t>
  </si>
  <si>
    <t>Mansoura Mashaya</t>
  </si>
  <si>
    <t>Cairo Nasr City</t>
  </si>
  <si>
    <t>branch list</t>
  </si>
  <si>
    <t>Alex Stanly</t>
  </si>
  <si>
    <t>Riyadh</t>
  </si>
  <si>
    <t>Dubai</t>
  </si>
  <si>
    <t>January</t>
  </si>
  <si>
    <t>young</t>
  </si>
  <si>
    <t>old aged</t>
  </si>
  <si>
    <t>young old</t>
  </si>
  <si>
    <t>middle aged</t>
  </si>
  <si>
    <t>count</t>
  </si>
  <si>
    <t>age_group</t>
  </si>
  <si>
    <t>age groups</t>
  </si>
  <si>
    <t>gender groups</t>
  </si>
  <si>
    <t>Male</t>
  </si>
  <si>
    <t>Female</t>
  </si>
  <si>
    <t>counts</t>
  </si>
  <si>
    <t>customer_gender</t>
  </si>
  <si>
    <t>total_sale</t>
  </si>
  <si>
    <t>February</t>
  </si>
  <si>
    <t>total_sales_per_month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</si>
</sst>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32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16" fillId="0" borderId="0" xfId="0" applyFont="1"/>
    <xf numFmtId="0" fontId="19" fillId="34" borderId="0" xfId="0" applyFont="1" applyFill="1" applyAlignment="1">
      <alignment vertical="center"/>
    </xf>
    <xf numFmtId="41" fontId="0" fillId="0" borderId="0" xfId="42" applyNumberFormat="1" applyFont="1"/>
    <xf numFmtId="0" fontId="18" fillId="3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>
                <a:solidFill>
                  <a:schemeClr val="bg1"/>
                </a:solidFill>
              </a:rPr>
              <a:t>Branch</a:t>
            </a:r>
            <a:r>
              <a:rPr lang="en-US" sz="2400" baseline="0">
                <a:solidFill>
                  <a:schemeClr val="bg1"/>
                </a:solidFill>
              </a:rPr>
              <a:t> Sales</a:t>
            </a:r>
            <a:endParaRPr lang="en-US" sz="2400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'colab branch sales'!$C$5</c:f>
              <c:strCache>
                <c:ptCount val="1"/>
                <c:pt idx="0">
                  <c:v>sum</c:v>
                </c:pt>
              </c:strCache>
            </c:strRef>
          </c:tx>
          <c:spPr>
            <a:ln w="28575" cap="rnd"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round/>
            </a:ln>
            <a:effectLst/>
          </c:spPr>
          <c:marker>
            <c:symbol val="none"/>
          </c:marker>
          <c:val>
            <c:numRef>
              <c:f>'colab branch sales'!$C$6:$C$9</c:f>
              <c:numCache>
                <c:formatCode>General</c:formatCode>
                <c:ptCount val="4"/>
                <c:pt idx="0">
                  <c:v>207055.84</c:v>
                </c:pt>
                <c:pt idx="1">
                  <c:v>173628.26</c:v>
                </c:pt>
                <c:pt idx="2">
                  <c:v>194999.94</c:v>
                </c:pt>
                <c:pt idx="3">
                  <c:v>68560.53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D-4A26-B334-FD3726896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2173120"/>
        <c:axId val="672173600"/>
      </c:lineChart>
      <c:catAx>
        <c:axId val="672173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>
                    <a:solidFill>
                      <a:schemeClr val="bg1"/>
                    </a:solidFill>
                  </a:rPr>
                  <a:t>Month</a:t>
                </a:r>
              </a:p>
            </c:rich>
          </c:tx>
          <c:overlay val="0"/>
          <c:spPr>
            <a:noFill/>
            <a:ln>
              <a:solidFill>
                <a:schemeClr val="bg1"/>
              </a:solidFill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,\ &quot;k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2173600"/>
        <c:crosses val="autoZero"/>
        <c:auto val="1"/>
        <c:lblAlgn val="ctr"/>
        <c:lblOffset val="100"/>
        <c:noMultiLvlLbl val="0"/>
      </c:catAx>
      <c:valAx>
        <c:axId val="672173600"/>
        <c:scaling>
          <c:orientation val="minMax"/>
          <c:max val="2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>
                    <a:solidFill>
                      <a:schemeClr val="bg1"/>
                    </a:solidFill>
                  </a:rPr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,\ &quot;k&quot;" sourceLinked="0"/>
        <c:majorTickMark val="none"/>
        <c:minorTickMark val="none"/>
        <c:tickLblPos val="nextTo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2173120"/>
        <c:crosses val="autoZero"/>
        <c:crossBetween val="between"/>
        <c:majorUnit val="50000"/>
        <c:minorUnit val="10000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gender</a:t>
            </a:r>
            <a:r>
              <a:rPr lang="en-US" baseline="0"/>
              <a:t> groups &amp;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0A6-4C73-8223-E58B83B537E4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0A6-4C73-8223-E58B83B537E4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DD22C58-7ACA-4404-96E0-D4AB0042C557}" type="CELLRANGE">
                      <a:rPr lang="en-US" sz="1200" baseline="0"/>
                      <a:pPr>
                        <a:defRPr sz="1200"/>
                      </a:pPr>
                      <a:t>[CELLRANGE]</a:t>
                    </a:fld>
                    <a:r>
                      <a:rPr lang="en-US" sz="1200" baseline="0"/>
                      <a:t>
</a:t>
                    </a:r>
                    <a:fld id="{DD118746-322A-4B7A-9CCA-6186724D97F9}" type="CATEGORYNAME">
                      <a:rPr lang="en-US" sz="1200" baseline="0"/>
                      <a:pPr>
                        <a:defRPr sz="1200"/>
                      </a:pPr>
                      <a:t>[CATEGORY NAME]</a:t>
                    </a:fld>
                    <a:r>
                      <a:rPr lang="en-US" sz="1200" baseline="0"/>
                      <a:t>
</a:t>
                    </a:r>
                    <a:fld id="{9248FA02-AB90-4E9D-AD8B-374C9AE81266}" type="PERCENTAGE">
                      <a:rPr lang="en-US" sz="1200" baseline="0"/>
                      <a:pPr>
                        <a:defRPr sz="1200"/>
                      </a:pPr>
                      <a:t>[PERCENTAGE]</a:t>
                    </a:fld>
                    <a:endParaRPr lang="en-US" sz="1200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589439267394037"/>
                      <c:h val="0.223970438655195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0A6-4C73-8223-E58B83B537E4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6E1493B-3406-415B-8C65-F7F504EFB2CF}" type="CELLRANGE">
                      <a:rPr lang="en-US" sz="1200" baseline="0"/>
                      <a:pPr>
                        <a:defRPr sz="1200"/>
                      </a:pPr>
                      <a:t>[CELLRANGE]</a:t>
                    </a:fld>
                    <a:r>
                      <a:rPr lang="en-US" sz="1200" baseline="0"/>
                      <a:t>
</a:t>
                    </a:r>
                    <a:fld id="{DEDEED83-E228-4B82-8221-9AC12C2520CD}" type="CATEGORYNAME">
                      <a:rPr lang="en-US" sz="1200" baseline="0"/>
                      <a:pPr>
                        <a:defRPr sz="1200"/>
                      </a:pPr>
                      <a:t>[CATEGORY NAME]</a:t>
                    </a:fld>
                    <a:r>
                      <a:rPr lang="en-US" sz="1200" baseline="0"/>
                      <a:t>
</a:t>
                    </a:r>
                    <a:fld id="{70D0E39C-ADBC-43A2-8E7F-A97F780FDB00}" type="PERCENTAGE">
                      <a:rPr lang="en-US" sz="1200" baseline="0"/>
                      <a:pPr>
                        <a:defRPr sz="1200"/>
                      </a:pPr>
                      <a:t>[PERCENTAGE]</a:t>
                    </a:fld>
                    <a:endParaRPr lang="en-US" sz="1200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6814694183126409"/>
                      <c:h val="0.20618231232756373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0A6-4C73-8223-E58B83B537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'customer groups'!$F$7:$F$8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'customer groups'!$G$7:$G$8</c:f>
              <c:numCache>
                <c:formatCode>General</c:formatCode>
                <c:ptCount val="2"/>
                <c:pt idx="0">
                  <c:v>3008</c:v>
                </c:pt>
                <c:pt idx="1">
                  <c:v>3134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'customer groups'!$G$3:$G$4</c15:f>
                <c15:dlblRangeCache>
                  <c:ptCount val="2"/>
                  <c:pt idx="0">
                    <c:v> 2,193,015 </c:v>
                  </c:pt>
                  <c:pt idx="1">
                    <c:v> 2,316,115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D0A6-4C73-8223-E58B83B537E4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 sz="3000"/>
              <a:t>total</a:t>
            </a:r>
            <a:r>
              <a:rPr lang="en-US" sz="3000" baseline="0"/>
              <a:t> </a:t>
            </a:r>
            <a:r>
              <a:rPr lang="en-US" sz="3000"/>
              <a:t>sales</a:t>
            </a:r>
            <a:r>
              <a:rPr lang="en-US" sz="3000" baseline="0"/>
              <a:t> </a:t>
            </a:r>
            <a:r>
              <a:rPr lang="en-US" sz="3000"/>
              <a:t>per</a:t>
            </a:r>
            <a:r>
              <a:rPr lang="en-US" sz="3000" baseline="0"/>
              <a:t> </a:t>
            </a:r>
            <a:r>
              <a:rPr lang="en-US" sz="3000"/>
              <a:t>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per month'!$B$1</c:f>
              <c:strCache>
                <c:ptCount val="1"/>
                <c:pt idx="0">
                  <c:v>total_sales_per_month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trendline>
            <c:spPr>
              <a:ln w="28575" cap="rnd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trendlineType val="linear"/>
            <c:dispRSqr val="0"/>
            <c:dispEq val="0"/>
          </c:trendline>
          <c:cat>
            <c:strRef>
              <c:f>'sales per month'!$A$2:$A$5</c:f>
              <c:strCache>
                <c:ptCount val="4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</c:strCache>
            </c:strRef>
          </c:cat>
          <c:val>
            <c:numRef>
              <c:f>'sales per month'!$B$2:$B$5</c:f>
              <c:numCache>
                <c:formatCode>_(* #,##0_);_(* \(#,##0\);_(* "-"_);_(@_)</c:formatCode>
                <c:ptCount val="4"/>
                <c:pt idx="0">
                  <c:v>1583952.14</c:v>
                </c:pt>
                <c:pt idx="1">
                  <c:v>1477780.87</c:v>
                </c:pt>
                <c:pt idx="2">
                  <c:v>1467898.66</c:v>
                </c:pt>
                <c:pt idx="3">
                  <c:v>602674.4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E9-4815-800D-1716BD813F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526973568"/>
        <c:axId val="526975968"/>
      </c:barChart>
      <c:catAx>
        <c:axId val="526973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800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975968"/>
        <c:crosses val="autoZero"/>
        <c:auto val="1"/>
        <c:lblAlgn val="ctr"/>
        <c:lblOffset val="100"/>
        <c:noMultiLvlLbl val="0"/>
      </c:catAx>
      <c:valAx>
        <c:axId val="52697596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200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,\ 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973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  <a:r>
              <a:rPr lang="en-US" baseline="0"/>
              <a:t> groups and  their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D7-4573-B8CF-1F4B0493A254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DD7-4573-B8CF-1F4B0493A254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DD7-4573-B8CF-1F4B0493A254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DD7-4573-B8CF-1F4B0493A25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52E879C-DDF9-448A-AB96-829EE27DA5B5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
</a:t>
                    </a:r>
                    <a:fld id="{9A9446CA-4F54-40D6-A6AD-EEE6301F6186}" type="CATEGORYNAME">
                      <a:rPr lang="en-US" baseline="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FE718C27-B9DE-4429-AA81-B4D6A6FA05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DD7-4573-B8CF-1F4B0493A25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2F0025A-1970-4890-9273-413A79AA7968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
</a:t>
                    </a:r>
                    <a:fld id="{C52563E9-F28A-4DB4-9466-2B2951512DE1}" type="CATEGORYNAME">
                      <a:rPr lang="en-US" baseline="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0BF7A78B-8433-4935-A368-DE0D43B09CE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DD7-4573-B8CF-1F4B0493A25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E59CE35-B8AF-452B-9469-FBDDCDE4779D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
</a:t>
                    </a:r>
                    <a:fld id="{CFCF8E87-FCF8-4386-A2D7-B4BE25ECF4F4}" type="CATEGORYNAME">
                      <a:rPr lang="en-US" baseline="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61BDF4D8-EB35-4FAC-8B41-B46B30D8F8DA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DD7-4573-B8CF-1F4B0493A25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A1ABDAC-E270-495E-906E-76290F91F48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
</a:t>
                    </a:r>
                    <a:fld id="{D43E47F7-80F6-4341-8F7C-06C576070AFC}" type="CATEGORYNAME">
                      <a:rPr lang="en-US" baseline="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220155C7-05C6-4A72-90C2-CC55F4077953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DD7-4573-B8CF-1F4B0493A2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'customer groups'!$A$3:$A$6</c:f>
              <c:strCache>
                <c:ptCount val="4"/>
                <c:pt idx="0">
                  <c:v>middle aged</c:v>
                </c:pt>
                <c:pt idx="1">
                  <c:v>young old</c:v>
                </c:pt>
                <c:pt idx="2">
                  <c:v>old aged</c:v>
                </c:pt>
                <c:pt idx="3">
                  <c:v>young</c:v>
                </c:pt>
              </c:strCache>
            </c:strRef>
          </c:cat>
          <c:val>
            <c:numRef>
              <c:f>'customer groups'!$B$3:$B$6</c:f>
              <c:numCache>
                <c:formatCode>General</c:formatCode>
                <c:ptCount val="4"/>
                <c:pt idx="0">
                  <c:v>2646</c:v>
                </c:pt>
                <c:pt idx="1">
                  <c:v>1450</c:v>
                </c:pt>
                <c:pt idx="2">
                  <c:v>1413</c:v>
                </c:pt>
                <c:pt idx="3">
                  <c:v>671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'customer groups'!$C$3:$C$6</c15:f>
                <c15:dlblRangeCache>
                  <c:ptCount val="4"/>
                  <c:pt idx="0">
                    <c:v> 1,960,627 </c:v>
                  </c:pt>
                  <c:pt idx="1">
                    <c:v> 1,066,940 </c:v>
                  </c:pt>
                  <c:pt idx="2">
                    <c:v> 1,035,474 </c:v>
                  </c:pt>
                  <c:pt idx="3">
                    <c:v> 478,594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ADD7-4573-B8CF-1F4B0493A254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163285</xdr:colOff>
      <xdr:row>11</xdr:row>
      <xdr:rowOff>11723</xdr:rowOff>
    </xdr:from>
    <xdr:to>
      <xdr:col>13</xdr:col>
      <xdr:colOff>398318</xdr:colOff>
      <xdr:row>47</xdr:row>
      <xdr:rowOff>121227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3FFD3EC-4BC6-46ED-9672-9B4584AF71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328391</xdr:colOff>
      <xdr:row>29</xdr:row>
      <xdr:rowOff>57808</xdr:rowOff>
    </xdr:from>
    <xdr:to>
      <xdr:col>41</xdr:col>
      <xdr:colOff>33792</xdr:colOff>
      <xdr:row>48</xdr:row>
      <xdr:rowOff>129565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F02919F-5D95-4151-82C9-2E174337C0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3811</xdr:colOff>
      <xdr:row>8</xdr:row>
      <xdr:rowOff>0</xdr:rowOff>
    </xdr:from>
    <xdr:to>
      <xdr:col>31</xdr:col>
      <xdr:colOff>555496</xdr:colOff>
      <xdr:row>48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984AB2-B2F0-4B90-95EE-B9DBFC3857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327417</xdr:colOff>
      <xdr:row>8</xdr:row>
      <xdr:rowOff>78768</xdr:rowOff>
    </xdr:from>
    <xdr:to>
      <xdr:col>41</xdr:col>
      <xdr:colOff>7404</xdr:colOff>
      <xdr:row>27</xdr:row>
      <xdr:rowOff>111926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9D3B3E7-A475-4EDA-B3EA-1BF2CDD9B6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502920</xdr:colOff>
      <xdr:row>0</xdr:row>
      <xdr:rowOff>160020</xdr:rowOff>
    </xdr:from>
    <xdr:to>
      <xdr:col>29</xdr:col>
      <xdr:colOff>60960</xdr:colOff>
      <xdr:row>7</xdr:row>
      <xdr:rowOff>53340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7DC6640E-BFB3-30FC-F35B-D940334BEED6}"/>
            </a:ext>
          </a:extLst>
        </xdr:cNvPr>
        <xdr:cNvSpPr txBox="1"/>
      </xdr:nvSpPr>
      <xdr:spPr>
        <a:xfrm>
          <a:off x="9037320" y="160020"/>
          <a:ext cx="8702040" cy="117348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4000" b="1"/>
            <a:t>B.Laban sales in the first third of 2024</a:t>
          </a:r>
        </a:p>
        <a:p>
          <a:pPr algn="ctr"/>
          <a:r>
            <a:rPr lang="en-US" sz="4000" b="1"/>
            <a:t>Egypt, Riyadh &amp; Dubai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903C-CCF6-491B-A82D-E58FF7D608C6}">
  <dimension ref="A1:T15"/>
  <sheetViews>
    <sheetView zoomScale="81" workbookViewId="0">
      <selection sqref="A1:T6"/>
    </sheetView>
  </sheetViews>
  <sheetFormatPr defaultRowHeight="14.4" x14ac:dyDescent="0.3"/>
  <sheetData>
    <row r="1" spans="1:20" x14ac:dyDescent="0.3">
      <c r="A1" s="6" t="s">
        <v>13</v>
      </c>
      <c r="B1" s="6"/>
      <c r="C1" s="1"/>
      <c r="D1" s="6" t="s">
        <v>6</v>
      </c>
      <c r="E1" s="6"/>
      <c r="F1" s="1"/>
      <c r="G1" s="6" t="s">
        <v>7</v>
      </c>
      <c r="H1" s="6"/>
      <c r="I1" s="1"/>
      <c r="J1" s="6" t="s">
        <v>8</v>
      </c>
      <c r="K1" s="6"/>
      <c r="L1" s="1"/>
      <c r="M1" s="6" t="s">
        <v>9</v>
      </c>
      <c r="N1" s="6"/>
      <c r="P1" s="6" t="s">
        <v>10</v>
      </c>
      <c r="Q1" s="6"/>
      <c r="S1" s="5" t="s">
        <v>14</v>
      </c>
      <c r="T1" s="5"/>
    </row>
    <row r="2" spans="1:20" x14ac:dyDescent="0.3">
      <c r="A2" t="s">
        <v>0</v>
      </c>
      <c r="B2" t="s">
        <v>1</v>
      </c>
      <c r="D2" t="s">
        <v>0</v>
      </c>
      <c r="E2" t="s">
        <v>1</v>
      </c>
      <c r="G2" t="s">
        <v>0</v>
      </c>
      <c r="H2" t="s">
        <v>1</v>
      </c>
      <c r="J2" t="s">
        <v>0</v>
      </c>
      <c r="K2" t="s">
        <v>1</v>
      </c>
      <c r="M2" t="s">
        <v>0</v>
      </c>
      <c r="N2" t="s">
        <v>1</v>
      </c>
      <c r="P2" t="s">
        <v>0</v>
      </c>
      <c r="Q2" t="s">
        <v>1</v>
      </c>
      <c r="S2" t="s">
        <v>0</v>
      </c>
      <c r="T2" t="s">
        <v>1</v>
      </c>
    </row>
    <row r="3" spans="1:20" x14ac:dyDescent="0.3">
      <c r="A3" t="s">
        <v>15</v>
      </c>
      <c r="B3">
        <v>207055.84</v>
      </c>
      <c r="D3" t="s">
        <v>2</v>
      </c>
      <c r="E3">
        <v>184189.51</v>
      </c>
      <c r="G3" t="s">
        <v>2</v>
      </c>
      <c r="H3">
        <v>203875.39</v>
      </c>
      <c r="J3" t="s">
        <v>2</v>
      </c>
      <c r="K3">
        <v>183553.32</v>
      </c>
      <c r="M3" t="s">
        <v>2</v>
      </c>
      <c r="N3">
        <v>203921.46</v>
      </c>
      <c r="P3" t="s">
        <v>2</v>
      </c>
      <c r="Q3">
        <v>216364.02</v>
      </c>
      <c r="S3" t="s">
        <v>15</v>
      </c>
      <c r="T3">
        <v>194611.55</v>
      </c>
    </row>
    <row r="4" spans="1:20" x14ac:dyDescent="0.3">
      <c r="A4" t="s">
        <v>3</v>
      </c>
      <c r="B4">
        <v>173628.26</v>
      </c>
      <c r="D4" t="s">
        <v>3</v>
      </c>
      <c r="E4">
        <v>171966.04</v>
      </c>
      <c r="G4" t="s">
        <v>3</v>
      </c>
      <c r="H4">
        <v>196831.96</v>
      </c>
      <c r="J4" t="s">
        <v>3</v>
      </c>
      <c r="K4">
        <v>214988.3</v>
      </c>
      <c r="M4" t="s">
        <v>3</v>
      </c>
      <c r="N4">
        <v>179579.48</v>
      </c>
      <c r="P4" t="s">
        <v>3</v>
      </c>
      <c r="Q4">
        <v>184240.46</v>
      </c>
      <c r="S4" t="s">
        <v>3</v>
      </c>
      <c r="T4">
        <v>176300.24</v>
      </c>
    </row>
    <row r="5" spans="1:20" x14ac:dyDescent="0.3">
      <c r="A5" t="s">
        <v>4</v>
      </c>
      <c r="B5">
        <v>194999.94</v>
      </c>
      <c r="D5" t="s">
        <v>4</v>
      </c>
      <c r="E5">
        <v>180849.25</v>
      </c>
      <c r="G5" t="s">
        <v>4</v>
      </c>
      <c r="H5">
        <v>174476.28</v>
      </c>
      <c r="J5" t="s">
        <v>4</v>
      </c>
      <c r="K5">
        <v>191544.63</v>
      </c>
      <c r="M5" t="s">
        <v>4</v>
      </c>
      <c r="N5">
        <v>178272.2</v>
      </c>
      <c r="P5" t="s">
        <v>4</v>
      </c>
      <c r="Q5">
        <v>176168.57</v>
      </c>
      <c r="S5" t="s">
        <v>4</v>
      </c>
      <c r="T5">
        <v>185982.38</v>
      </c>
    </row>
    <row r="6" spans="1:20" x14ac:dyDescent="0.3">
      <c r="A6" t="s">
        <v>5</v>
      </c>
      <c r="B6">
        <v>68560.53</v>
      </c>
      <c r="D6" t="s">
        <v>5</v>
      </c>
      <c r="E6">
        <v>73927.75</v>
      </c>
      <c r="G6" t="s">
        <v>5</v>
      </c>
      <c r="H6">
        <v>82046.759999999995</v>
      </c>
      <c r="J6" t="s">
        <v>5</v>
      </c>
      <c r="K6">
        <v>64752.86</v>
      </c>
      <c r="M6" t="s">
        <v>5</v>
      </c>
      <c r="N6">
        <v>67514.66</v>
      </c>
      <c r="P6" t="s">
        <v>5</v>
      </c>
      <c r="Q6">
        <v>92132.17</v>
      </c>
      <c r="S6" t="s">
        <v>5</v>
      </c>
      <c r="T6">
        <v>84005.91</v>
      </c>
    </row>
    <row r="8" spans="1:20" x14ac:dyDescent="0.3">
      <c r="A8" s="6" t="s">
        <v>11</v>
      </c>
      <c r="B8" s="6"/>
    </row>
    <row r="9" spans="1:20" x14ac:dyDescent="0.3">
      <c r="A9" t="s">
        <v>13</v>
      </c>
    </row>
    <row r="10" spans="1:20" x14ac:dyDescent="0.3">
      <c r="A10" t="s">
        <v>12</v>
      </c>
    </row>
    <row r="11" spans="1:20" x14ac:dyDescent="0.3">
      <c r="A11" t="s">
        <v>7</v>
      </c>
    </row>
    <row r="12" spans="1:20" x14ac:dyDescent="0.3">
      <c r="A12" t="s">
        <v>8</v>
      </c>
    </row>
    <row r="13" spans="1:20" x14ac:dyDescent="0.3">
      <c r="A13" t="s">
        <v>9</v>
      </c>
    </row>
    <row r="14" spans="1:20" x14ac:dyDescent="0.3">
      <c r="A14" t="s">
        <v>10</v>
      </c>
    </row>
    <row r="15" spans="1:20" x14ac:dyDescent="0.3">
      <c r="A15" t="s">
        <v>14</v>
      </c>
    </row>
  </sheetData>
  <mergeCells count="8">
    <mergeCell ref="S1:T1"/>
    <mergeCell ref="A8:B8"/>
    <mergeCell ref="A1:B1"/>
    <mergeCell ref="D1:E1"/>
    <mergeCell ref="G1:H1"/>
    <mergeCell ref="J1:K1"/>
    <mergeCell ref="M1:N1"/>
    <mergeCell ref="P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9581D-63D9-4246-831B-DA8445A94871}">
  <dimension ref="B5:C9"/>
  <sheetViews>
    <sheetView zoomScale="55" workbookViewId="0">
      <selection activeCell="E20" sqref="E20"/>
    </sheetView>
  </sheetViews>
  <sheetFormatPr defaultRowHeight="14.4" x14ac:dyDescent="0.3"/>
  <sheetData>
    <row r="5" spans="2:3" x14ac:dyDescent="0.3">
      <c r="B5" t="str" cm="1">
        <f t="array" ref="B5:C9">_xlfn.IFS(
dashboard!E9='riyadh &amp; dubai'!A9,'riyadh &amp; dubai'!A2:B6,
dashboard!E9='riyadh &amp; dubai'!A10,'riyadh &amp; dubai'!D2:E6,
dashboard!E9='riyadh &amp; dubai'!A11,'riyadh &amp; dubai'!G2:H6,
dashboard!E9='riyadh &amp; dubai'!A12,'riyadh &amp; dubai'!J2:K6,
dashboard!E9='riyadh &amp; dubai'!A13,'riyadh &amp; dubai'!M2:N6,
dashboard!E9='riyadh &amp; dubai'!A14,'riyadh &amp; dubai'!P2:Q6,dashboard!E9='riyadh &amp; dubai'!A9,'riyadh &amp; dubai'!A2:B6,dashboard!E9='riyadh &amp; dubai'!A15,'riyadh &amp; dubai'!S2:T6)</f>
        <v>month</v>
      </c>
      <c r="C5" t="str">
        <v>sum</v>
      </c>
    </row>
    <row r="6" spans="2:3" x14ac:dyDescent="0.3">
      <c r="B6" t="str">
        <v>January</v>
      </c>
      <c r="C6">
        <v>207055.84</v>
      </c>
    </row>
    <row r="7" spans="2:3" x14ac:dyDescent="0.3">
      <c r="B7" t="str">
        <v>Febuary</v>
      </c>
      <c r="C7">
        <v>173628.26</v>
      </c>
    </row>
    <row r="8" spans="2:3" x14ac:dyDescent="0.3">
      <c r="B8" t="str">
        <v>March</v>
      </c>
      <c r="C8">
        <v>194999.94</v>
      </c>
    </row>
    <row r="9" spans="2:3" x14ac:dyDescent="0.3">
      <c r="B9" t="str">
        <v>April</v>
      </c>
      <c r="C9">
        <v>68560.53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4BC56-EA29-4CE9-AC7E-638319BBCAF6}">
  <dimension ref="A1:G8"/>
  <sheetViews>
    <sheetView zoomScale="144" workbookViewId="0">
      <selection activeCell="G3" sqref="G3:G4"/>
    </sheetView>
  </sheetViews>
  <sheetFormatPr defaultRowHeight="14.4" x14ac:dyDescent="0.3"/>
  <cols>
    <col min="2" max="2" width="9" bestFit="1" customWidth="1"/>
    <col min="3" max="3" width="13.88671875" bestFit="1" customWidth="1"/>
    <col min="7" max="7" width="13.88671875" customWidth="1"/>
  </cols>
  <sheetData>
    <row r="1" spans="1:7" x14ac:dyDescent="0.3">
      <c r="A1" s="6" t="s">
        <v>22</v>
      </c>
      <c r="B1" s="6"/>
      <c r="F1" s="6" t="s">
        <v>23</v>
      </c>
      <c r="G1" s="6"/>
    </row>
    <row r="2" spans="1:7" x14ac:dyDescent="0.3">
      <c r="A2" t="s">
        <v>21</v>
      </c>
      <c r="B2" t="s">
        <v>20</v>
      </c>
      <c r="C2" t="s">
        <v>1</v>
      </c>
      <c r="G2" t="s">
        <v>28</v>
      </c>
    </row>
    <row r="3" spans="1:7" x14ac:dyDescent="0.3">
      <c r="A3" t="s">
        <v>19</v>
      </c>
      <c r="B3">
        <v>2646</v>
      </c>
      <c r="C3" s="3">
        <v>1960627.19</v>
      </c>
      <c r="F3" t="s">
        <v>25</v>
      </c>
      <c r="G3" s="3">
        <v>2193014.6</v>
      </c>
    </row>
    <row r="4" spans="1:7" x14ac:dyDescent="0.3">
      <c r="A4" t="s">
        <v>18</v>
      </c>
      <c r="B4">
        <v>1450</v>
      </c>
      <c r="C4" s="3">
        <v>1066939.71</v>
      </c>
      <c r="F4" t="s">
        <v>24</v>
      </c>
      <c r="G4" s="3">
        <v>2316115.0099999998</v>
      </c>
    </row>
    <row r="5" spans="1:7" x14ac:dyDescent="0.3">
      <c r="A5" t="s">
        <v>17</v>
      </c>
      <c r="B5">
        <v>1413</v>
      </c>
      <c r="C5" s="3">
        <v>1035473.56</v>
      </c>
    </row>
    <row r="6" spans="1:7" x14ac:dyDescent="0.3">
      <c r="A6" t="s">
        <v>16</v>
      </c>
      <c r="B6">
        <v>671</v>
      </c>
      <c r="C6" s="3">
        <v>478594.16</v>
      </c>
      <c r="F6" t="s">
        <v>27</v>
      </c>
      <c r="G6" t="s">
        <v>26</v>
      </c>
    </row>
    <row r="7" spans="1:7" x14ac:dyDescent="0.3">
      <c r="F7" t="s">
        <v>25</v>
      </c>
      <c r="G7">
        <v>3008</v>
      </c>
    </row>
    <row r="8" spans="1:7" x14ac:dyDescent="0.3">
      <c r="F8" t="s">
        <v>24</v>
      </c>
      <c r="G8">
        <v>3134</v>
      </c>
    </row>
  </sheetData>
  <mergeCells count="2">
    <mergeCell ref="A1:B1"/>
    <mergeCell ref="F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EEC2-FAEE-467E-9E8E-C87B8660D5D9}">
  <dimension ref="A1:B5"/>
  <sheetViews>
    <sheetView zoomScale="179" workbookViewId="0">
      <selection activeCell="B2" sqref="B2:B5"/>
    </sheetView>
  </sheetViews>
  <sheetFormatPr defaultRowHeight="14.4" x14ac:dyDescent="0.3"/>
  <cols>
    <col min="2" max="2" width="14.33203125" bestFit="1" customWidth="1"/>
  </cols>
  <sheetData>
    <row r="1" spans="1:2" x14ac:dyDescent="0.3">
      <c r="A1" t="s">
        <v>0</v>
      </c>
      <c r="B1" t="s">
        <v>30</v>
      </c>
    </row>
    <row r="2" spans="1:2" x14ac:dyDescent="0.3">
      <c r="A2" t="s">
        <v>15</v>
      </c>
      <c r="B2" s="3">
        <v>1583952.14</v>
      </c>
    </row>
    <row r="3" spans="1:2" x14ac:dyDescent="0.3">
      <c r="A3" t="s">
        <v>29</v>
      </c>
      <c r="B3" s="3">
        <v>1477780.87</v>
      </c>
    </row>
    <row r="4" spans="1:2" x14ac:dyDescent="0.3">
      <c r="A4" t="s">
        <v>4</v>
      </c>
      <c r="B4" s="3">
        <v>1467898.66</v>
      </c>
    </row>
    <row r="5" spans="1:2" x14ac:dyDescent="0.3">
      <c r="A5" t="s">
        <v>5</v>
      </c>
      <c r="B5" s="3">
        <v>602674.4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619C9-43D7-4B73-84A8-96F042F1BA63}">
  <dimension ref="E1:AD16"/>
  <sheetViews>
    <sheetView showGridLines="0" tabSelected="1" zoomScale="40" zoomScaleNormal="100" workbookViewId="0">
      <selection activeCell="V60" sqref="V60"/>
    </sheetView>
  </sheetViews>
  <sheetFormatPr defaultRowHeight="14.4" x14ac:dyDescent="0.3"/>
  <sheetData>
    <row r="1" spans="5:30" ht="14.4" customHeight="1" x14ac:dyDescent="0.3"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5:30" ht="14.4" customHeight="1" x14ac:dyDescent="0.3"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5:30" ht="14.4" customHeight="1" x14ac:dyDescent="0.3"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5:30" ht="14.4" customHeight="1" x14ac:dyDescent="0.3"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5:30" ht="14.4" customHeight="1" x14ac:dyDescent="0.3"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5:30" ht="14.4" customHeight="1" x14ac:dyDescent="0.3"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5:30" ht="14.4" customHeight="1" x14ac:dyDescent="0.3"/>
    <row r="8" spans="5:30" ht="14.4" customHeight="1" x14ac:dyDescent="0.3"/>
    <row r="9" spans="5:30" ht="14.4" customHeight="1" x14ac:dyDescent="0.3">
      <c r="E9" s="4" t="s">
        <v>13</v>
      </c>
      <c r="F9" s="4"/>
      <c r="G9" s="4"/>
      <c r="H9" s="4"/>
      <c r="I9" s="4"/>
    </row>
    <row r="10" spans="5:30" ht="14.4" customHeight="1" x14ac:dyDescent="0.3">
      <c r="E10" s="4"/>
      <c r="F10" s="4"/>
      <c r="G10" s="4"/>
      <c r="H10" s="4"/>
      <c r="I10" s="4"/>
    </row>
    <row r="11" spans="5:30" ht="14.4" customHeight="1" x14ac:dyDescent="0.3"/>
    <row r="12" spans="5:30" ht="14.4" customHeight="1" x14ac:dyDescent="0.3"/>
    <row r="15" spans="5:30" ht="14.4" customHeight="1" x14ac:dyDescent="0.3"/>
    <row r="16" spans="5:30" ht="14.4" customHeight="1" x14ac:dyDescent="0.3"/>
  </sheetData>
  <mergeCells count="1">
    <mergeCell ref="E9:I10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70621B-8C82-4809-B334-A11E374661C5}">
          <x14:formula1>
            <xm:f>'riyadh &amp; dubai'!$A$9:$A$15</xm:f>
          </x14:formula1>
          <xm:sqref>E9:I10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riyadh &amp; dubai</vt:lpstr>
      <vt:lpstr>colab branch sales</vt:lpstr>
      <vt:lpstr>customer groups</vt:lpstr>
      <vt:lpstr>sales per month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رضا الشيخ</dc:creator>
  <cp:lastModifiedBy>رضا الشيخ</cp:lastModifiedBy>
  <dcterms:created xsi:type="dcterms:W3CDTF">2026-03-10T18:20:40Z</dcterms:created>
  <dcterms:modified xsi:type="dcterms:W3CDTF">2026-03-11T21:34:34Z</dcterms:modified>
</cp:coreProperties>
</file>