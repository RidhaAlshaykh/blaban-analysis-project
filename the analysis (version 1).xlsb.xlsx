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aban analysis project\"/>
    </mc:Choice>
  </mc:AlternateContent>
  <xr:revisionPtr revIDLastSave="0" documentId="8_{221D74AB-49D0-43F1-BF62-4758BD0670BA}" xr6:coauthVersionLast="47" xr6:coauthVersionMax="47" xr10:uidLastSave="{00000000-0000-0000-0000-000000000000}"/>
  <bookViews>
    <workbookView xWindow="-108" yWindow="-108" windowWidth="23256" windowHeight="12456" tabRatio="651" firstSheet="4" activeTab="4" xr2:uid="{AF6E0E80-9533-46E3-8E40-BD1348797296}"/>
  </bookViews>
  <sheets>
    <sheet name="branches data" sheetId="1" state="hidden" r:id="rId1"/>
    <sheet name="colab branch sales" sheetId="13" state="hidden" r:id="rId2"/>
    <sheet name="customer groups" sheetId="15" state="hidden" r:id="rId3"/>
    <sheet name="sales per month" sheetId="17" state="hidden" r:id="rId4"/>
    <sheet name="dashboard" sheetId="14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3" l="1"/>
  <c r="B5" i="1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<sst xmlns="http://schemas.openxmlformats.org/spreadsheetml/2006/main" count="80" uniqueCount="31">
  <si>
    <t>month</t>
  </si>
  <si>
    <t>sum</t>
  </si>
  <si>
    <t>Jaunuary</t>
  </si>
  <si>
    <t>Febuary</t>
  </si>
  <si>
    <t>March</t>
  </si>
  <si>
    <t>April</t>
  </si>
  <si>
    <t>Alex Staanly</t>
  </si>
  <si>
    <t>Cairo Zamalek</t>
  </si>
  <si>
    <t>Giza Zayed</t>
  </si>
  <si>
    <t>Mansoura Mashaya</t>
  </si>
  <si>
    <t>Cairo Nasr City</t>
  </si>
  <si>
    <t>branch list</t>
  </si>
  <si>
    <t>Alex Stanly</t>
  </si>
  <si>
    <t>Riyadh</t>
  </si>
  <si>
    <t>Dubai</t>
  </si>
  <si>
    <t>January</t>
  </si>
  <si>
    <t>young</t>
  </si>
  <si>
    <t>old aged</t>
  </si>
  <si>
    <t>young old</t>
  </si>
  <si>
    <t>middle aged</t>
  </si>
  <si>
    <t>count</t>
  </si>
  <si>
    <t>age_group</t>
  </si>
  <si>
    <t>age groups</t>
  </si>
  <si>
    <t>gender groups</t>
  </si>
  <si>
    <t>Male</t>
  </si>
  <si>
    <t>Female</t>
  </si>
  <si>
    <t>counts</t>
  </si>
  <si>
    <t>customer_gender</t>
  </si>
  <si>
    <t>total_sale</t>
  </si>
  <si>
    <t>February</t>
  </si>
  <si>
    <t>total_sales_per_month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</si>
</sst>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32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34" borderId="0" xfId="0" applyFont="1" applyFill="1" applyAlignment="1">
      <alignment vertical="center"/>
    </xf>
    <xf numFmtId="41" fontId="0" fillId="0" borderId="0" xfId="42" applyNumberFormat="1" applyFont="1"/>
    <xf numFmtId="0" fontId="17" fillId="0" borderId="0" xfId="0" applyFont="1"/>
    <xf numFmtId="0" fontId="20" fillId="34" borderId="0" xfId="0" applyFont="1" applyFill="1" applyAlignment="1">
      <alignment horizontal="center"/>
    </xf>
    <xf numFmtId="0" fontId="19" fillId="3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groups &amp;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A6-4C73-8223-E58B83B537E4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A6-4C73-8223-E58B83B537E4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8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94C829A-E130-49A1-86AE-C724E025A565}" type="CELLRANGE">
                      <a:rPr lang="en-US" sz="8800" baseline="0"/>
                      <a:pPr>
                        <a:defRPr sz="8800"/>
                      </a:pPr>
                      <a:t>[CELLRANGE]</a:t>
                    </a:fld>
                    <a:r>
                      <a:rPr lang="en-US" sz="8800" baseline="0"/>
                      <a:t>
</a:t>
                    </a:r>
                    <a:fld id="{994D87B7-B4A8-4848-B36B-0B3A7219247C}" type="CATEGORYNAME">
                      <a:rPr lang="en-US" sz="8800" baseline="0"/>
                      <a:pPr>
                        <a:defRPr sz="8800"/>
                      </a:pPr>
                      <a:t>[CATEGORY NAME]</a:t>
                    </a:fld>
                    <a:r>
                      <a:rPr lang="en-US" sz="8800" baseline="0"/>
                      <a:t>
</a:t>
                    </a:r>
                    <a:fld id="{564833C4-49DD-45E2-AA2C-CF4E112F60B8}" type="PERCENTAGE">
                      <a:rPr lang="en-US" sz="8800" baseline="0"/>
                      <a:pPr>
                        <a:defRPr sz="8800"/>
                      </a:pPr>
                      <a:t>[PERCENTAGE]</a:t>
                    </a:fld>
                    <a:endParaRPr lang="en-US" sz="88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8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1591870985666"/>
                      <c:h val="0.3021987068951976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0A6-4C73-8223-E58B83B537E4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8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E357ACD-64FF-4111-A66D-78154C7B9F9D}" type="CELLRANGE">
                      <a:rPr lang="en-US" sz="8800" baseline="0"/>
                      <a:pPr>
                        <a:defRPr sz="8800"/>
                      </a:pPr>
                      <a:t>[CELLRANGE]</a:t>
                    </a:fld>
                    <a:r>
                      <a:rPr lang="en-US" sz="8800" baseline="0"/>
                      <a:t>
</a:t>
                    </a:r>
                    <a:fld id="{00284E5A-ACE0-43DB-86B8-A042A0DF29E7}" type="CATEGORYNAME">
                      <a:rPr lang="en-US" sz="8800" baseline="0"/>
                      <a:pPr>
                        <a:defRPr sz="8800"/>
                      </a:pPr>
                      <a:t>[CATEGORY NAME]</a:t>
                    </a:fld>
                    <a:r>
                      <a:rPr lang="en-US" sz="8800" baseline="0"/>
                      <a:t>
</a:t>
                    </a:r>
                    <a:fld id="{BEA3EF8F-9FE2-4665-8C1C-9EAABD985528}" type="PERCENTAGE">
                      <a:rPr lang="en-US" sz="8800" baseline="0"/>
                      <a:pPr>
                        <a:defRPr sz="8800"/>
                      </a:pPr>
                      <a:t>[PERCENTAGE]</a:t>
                    </a:fld>
                    <a:endParaRPr lang="en-US" sz="88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8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139025381823964"/>
                      <c:h val="0.3106466811437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0A6-4C73-8223-E58B83B537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8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'customer groups'!$F$7:$F$8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'customer groups'!$G$7:$G$8</c:f>
              <c:numCache>
                <c:formatCode>General</c:formatCode>
                <c:ptCount val="2"/>
                <c:pt idx="0">
                  <c:v>3008</c:v>
                </c:pt>
                <c:pt idx="1">
                  <c:v>3134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'customer groups'!$G$3:$G$4</c15:f>
                <c15:dlblRangeCache>
                  <c:ptCount val="2"/>
                  <c:pt idx="0">
                    <c:v> 2,193,015 </c:v>
                  </c:pt>
                  <c:pt idx="1">
                    <c:v> 2,316,115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D0A6-4C73-8223-E58B83B537E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3000"/>
              <a:t>total</a:t>
            </a:r>
            <a:r>
              <a:rPr lang="en-US" sz="3000" baseline="0"/>
              <a:t> </a:t>
            </a:r>
            <a:r>
              <a:rPr lang="en-US" sz="3000"/>
              <a:t>sales</a:t>
            </a:r>
            <a:r>
              <a:rPr lang="en-US" sz="3000" baseline="0"/>
              <a:t> </a:t>
            </a:r>
            <a:r>
              <a:rPr lang="en-US" sz="3000"/>
              <a:t>per</a:t>
            </a:r>
            <a:r>
              <a:rPr lang="en-US" sz="3000" baseline="0"/>
              <a:t> </a:t>
            </a:r>
            <a:r>
              <a:rPr lang="en-US" sz="3000"/>
              <a:t>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 month'!$B$1</c:f>
              <c:strCache>
                <c:ptCount val="1"/>
                <c:pt idx="0">
                  <c:v>total_sales_per_month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strRef>
              <c:f>'sales per month'!$A$2:$A$5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'sales per month'!$B$2:$B$5</c:f>
              <c:numCache>
                <c:formatCode>_(* #,##0_);_(* \(#,##0\);_(* "-"_);_(@_)</c:formatCode>
                <c:ptCount val="4"/>
                <c:pt idx="0">
                  <c:v>1583952.14</c:v>
                </c:pt>
                <c:pt idx="1">
                  <c:v>1477780.87</c:v>
                </c:pt>
                <c:pt idx="2">
                  <c:v>1467898.66</c:v>
                </c:pt>
                <c:pt idx="3">
                  <c:v>602674.4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9-4815-800D-1716BD813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526973568"/>
        <c:axId val="526975968"/>
      </c:barChart>
      <c:catAx>
        <c:axId val="52697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975968"/>
        <c:crosses val="autoZero"/>
        <c:auto val="1"/>
        <c:lblAlgn val="ctr"/>
        <c:lblOffset val="100"/>
        <c:noMultiLvlLbl val="0"/>
      </c:catAx>
      <c:valAx>
        <c:axId val="526975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97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groups and  their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D7-4573-B8CF-1F4B0493A254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D7-4573-B8CF-1F4B0493A254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D7-4573-B8CF-1F4B0493A254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D7-4573-B8CF-1F4B0493A25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8312B85-DB1B-47F9-8528-BF54B2BB1CA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C43A148C-9053-4731-AB9B-45E461DA3AAC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B6932575-F52F-4777-BA8C-AED29354E8F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DD7-4573-B8CF-1F4B0493A25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BB74111-D607-4B7B-A3D5-0667BC315DB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8486907B-8BE2-4FB3-A8BE-2CA94486CDFD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446842CC-376E-4554-9A9C-D0F79BDA32B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DD7-4573-B8CF-1F4B0493A25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6AA7D48-CC57-411D-83C6-54E7421B482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56C8422E-070F-46FC-9B77-8F26E65A7B64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60BB5C71-5F2A-46E3-B2EE-8660CCC7F024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DD7-4573-B8CF-1F4B0493A25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F29BE84-AF54-410D-9F3D-FCEC9C7004A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B5B2E15D-CBE5-4FBA-94F1-A3954E21EC8B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79FED707-A2F2-42D5-94AA-820586C2214A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DD7-4573-B8CF-1F4B0493A2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6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'customer groups'!$A$3:$A$6</c:f>
              <c:strCache>
                <c:ptCount val="4"/>
                <c:pt idx="0">
                  <c:v>middle aged</c:v>
                </c:pt>
                <c:pt idx="1">
                  <c:v>young old</c:v>
                </c:pt>
                <c:pt idx="2">
                  <c:v>old aged</c:v>
                </c:pt>
                <c:pt idx="3">
                  <c:v>young</c:v>
                </c:pt>
              </c:strCache>
            </c:strRef>
          </c:cat>
          <c:val>
            <c:numRef>
              <c:f>'customer groups'!$B$3:$B$6</c:f>
              <c:numCache>
                <c:formatCode>General</c:formatCode>
                <c:ptCount val="4"/>
                <c:pt idx="0">
                  <c:v>2646</c:v>
                </c:pt>
                <c:pt idx="1">
                  <c:v>1450</c:v>
                </c:pt>
                <c:pt idx="2">
                  <c:v>1413</c:v>
                </c:pt>
                <c:pt idx="3">
                  <c:v>671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'customer groups'!$C$3:$C$6</c15:f>
                <c15:dlblRangeCache>
                  <c:ptCount val="4"/>
                  <c:pt idx="0">
                    <c:v> 1,960,627 </c:v>
                  </c:pt>
                  <c:pt idx="1">
                    <c:v> 1,066,940 </c:v>
                  </c:pt>
                  <c:pt idx="2">
                    <c:v> 1,035,474 </c:v>
                  </c:pt>
                  <c:pt idx="3">
                    <c:v> 478,594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DD7-4573-B8CF-1F4B0493A25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branch</a:t>
            </a:r>
            <a:r>
              <a:rPr lang="en-US" baseline="0"/>
              <a:t>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37754868759161E-2"/>
          <c:y val="0.10581575534154378"/>
          <c:w val="0.88708636503577076"/>
          <c:h val="0.818075246559995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'colab branch sales'!$C$5</c:f>
              <c:strCache>
                <c:ptCount val="1"/>
                <c:pt idx="0">
                  <c:v>sum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solidFill>
                <a:schemeClr val="accent1"/>
              </a:solidFill>
              <a:prstDash val="lgDashDot"/>
            </a:ln>
            <a:effectLst/>
          </c:spPr>
          <c:invertIfNegative val="0"/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strRef>
              <c:f>'colab branch sales'!$B$6:$B$9</c:f>
              <c:strCache>
                <c:ptCount val="4"/>
                <c:pt idx="0">
                  <c:v>January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'colab branch sales'!$C$6:$C$9</c:f>
              <c:numCache>
                <c:formatCode>General</c:formatCode>
                <c:ptCount val="4"/>
                <c:pt idx="0">
                  <c:v>207055.84</c:v>
                </c:pt>
                <c:pt idx="1">
                  <c:v>173628.26</c:v>
                </c:pt>
                <c:pt idx="2">
                  <c:v>194999.94</c:v>
                </c:pt>
                <c:pt idx="3">
                  <c:v>68560.53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8-4D97-8B70-804101238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048118480"/>
        <c:axId val="2048120880"/>
      </c:barChart>
      <c:catAx>
        <c:axId val="204811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4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120880"/>
        <c:crosses val="autoZero"/>
        <c:auto val="1"/>
        <c:lblAlgn val="ctr"/>
        <c:lblOffset val="100"/>
        <c:noMultiLvlLbl val="0"/>
      </c:catAx>
      <c:valAx>
        <c:axId val="2048120880"/>
        <c:scaling>
          <c:orientation val="minMax"/>
        </c:scaling>
        <c:delete val="0"/>
        <c:axPos val="l"/>
        <c:numFmt formatCode="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4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11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99</xdr:col>
      <xdr:colOff>326480</xdr:colOff>
      <xdr:row>94</xdr:row>
      <xdr:rowOff>76968</xdr:rowOff>
    </xdr:from>
    <xdr:to>
      <xdr:col>126</xdr:col>
      <xdr:colOff>533400</xdr:colOff>
      <xdr:row>182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02919F-5D95-4151-82C9-2E174337C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152401</xdr:colOff>
      <xdr:row>21</xdr:row>
      <xdr:rowOff>76200</xdr:rowOff>
    </xdr:from>
    <xdr:to>
      <xdr:col>98</xdr:col>
      <xdr:colOff>367145</xdr:colOff>
      <xdr:row>143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984AB2-B2F0-4B90-95EE-B9DBFC385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100</xdr:col>
      <xdr:colOff>1</xdr:colOff>
      <xdr:row>0</xdr:row>
      <xdr:rowOff>0</xdr:rowOff>
    </xdr:from>
    <xdr:to>
      <xdr:col>126</xdr:col>
      <xdr:colOff>118499</xdr:colOff>
      <xdr:row>90</xdr:row>
      <xdr:rowOff>37900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D3B3E7-A475-4EDA-B3EA-1BF2CDD9B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151741</xdr:colOff>
      <xdr:row>0</xdr:row>
      <xdr:rowOff>178128</xdr:rowOff>
    </xdr:from>
    <xdr:to>
      <xdr:col>94</xdr:col>
      <xdr:colOff>521196</xdr:colOff>
      <xdr:row>18</xdr:row>
      <xdr:rowOff>138545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DC6640E-BFB3-30FC-F35B-D940334BEED6}"/>
            </a:ext>
          </a:extLst>
        </xdr:cNvPr>
        <xdr:cNvSpPr txBox="1"/>
      </xdr:nvSpPr>
      <xdr:spPr>
        <a:xfrm>
          <a:off x="31947923" y="178128"/>
          <a:ext cx="27178000" cy="370114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600" b="1"/>
            <a:t>B.Laban sales in the first third of 2024</a:t>
          </a:r>
        </a:p>
        <a:p>
          <a:pPr algn="ctr"/>
          <a:r>
            <a:rPr lang="en-US" sz="9600" b="1"/>
            <a:t>Egypt, Riyadh &amp; Dubai</a:t>
          </a:r>
        </a:p>
      </xdr:txBody>
    </xdr:sp>
    <xdr:clientData/>
  </xdr:twoCellAnchor>
  <xdr:twoCellAnchor>
    <xdr:from>
      <xdr:col>4</xdr:col>
      <xdr:colOff>457201</xdr:colOff>
      <xdr:row>23</xdr:row>
      <xdr:rowOff>0</xdr:rowOff>
    </xdr:from>
    <xdr:to>
      <xdr:col>41</xdr:col>
      <xdr:colOff>287867</xdr:colOff>
      <xdr:row>130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C79D8-1D9C-4F50-863B-797F8F9D2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903C-CCF6-491B-A82D-E58FF7D608C6}">
  <dimension ref="A1:T15"/>
  <sheetViews>
    <sheetView zoomScale="81" workbookViewId="0">
      <selection sqref="A1:T6"/>
    </sheetView>
  </sheetViews>
  <sheetFormatPr defaultRowHeight="14.4" x14ac:dyDescent="0.3"/>
  <sheetData>
    <row r="1" spans="1:20" x14ac:dyDescent="0.3">
      <c r="A1" s="8" t="s">
        <v>13</v>
      </c>
      <c r="B1" s="8"/>
      <c r="C1" s="1"/>
      <c r="D1" s="8" t="s">
        <v>6</v>
      </c>
      <c r="E1" s="8"/>
      <c r="F1" s="1"/>
      <c r="G1" s="8" t="s">
        <v>7</v>
      </c>
      <c r="H1" s="8"/>
      <c r="I1" s="1"/>
      <c r="J1" s="8" t="s">
        <v>8</v>
      </c>
      <c r="K1" s="8"/>
      <c r="L1" s="1"/>
      <c r="M1" s="8" t="s">
        <v>9</v>
      </c>
      <c r="N1" s="8"/>
      <c r="P1" s="8" t="s">
        <v>10</v>
      </c>
      <c r="Q1" s="8"/>
      <c r="S1" s="7" t="s">
        <v>14</v>
      </c>
      <c r="T1" s="7"/>
    </row>
    <row r="2" spans="1:20" x14ac:dyDescent="0.3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  <c r="J2" t="s">
        <v>0</v>
      </c>
      <c r="K2" t="s">
        <v>1</v>
      </c>
      <c r="M2" t="s">
        <v>0</v>
      </c>
      <c r="N2" t="s">
        <v>1</v>
      </c>
      <c r="P2" t="s">
        <v>0</v>
      </c>
      <c r="Q2" t="s">
        <v>1</v>
      </c>
      <c r="S2" t="s">
        <v>0</v>
      </c>
      <c r="T2" t="s">
        <v>1</v>
      </c>
    </row>
    <row r="3" spans="1:20" x14ac:dyDescent="0.3">
      <c r="A3" t="s">
        <v>15</v>
      </c>
      <c r="B3">
        <v>207055.84</v>
      </c>
      <c r="D3" t="s">
        <v>2</v>
      </c>
      <c r="E3">
        <v>184189.51</v>
      </c>
      <c r="G3" t="s">
        <v>2</v>
      </c>
      <c r="H3">
        <v>203875.39</v>
      </c>
      <c r="J3" t="s">
        <v>2</v>
      </c>
      <c r="K3">
        <v>183553.32</v>
      </c>
      <c r="M3" t="s">
        <v>2</v>
      </c>
      <c r="N3">
        <v>203921.46</v>
      </c>
      <c r="P3" t="s">
        <v>2</v>
      </c>
      <c r="Q3">
        <v>216364.02</v>
      </c>
      <c r="S3" t="s">
        <v>15</v>
      </c>
      <c r="T3">
        <v>194611.55</v>
      </c>
    </row>
    <row r="4" spans="1:20" x14ac:dyDescent="0.3">
      <c r="A4" t="s">
        <v>3</v>
      </c>
      <c r="B4">
        <v>173628.26</v>
      </c>
      <c r="D4" t="s">
        <v>3</v>
      </c>
      <c r="E4">
        <v>171966.04</v>
      </c>
      <c r="G4" t="s">
        <v>3</v>
      </c>
      <c r="H4">
        <v>196831.96</v>
      </c>
      <c r="J4" t="s">
        <v>3</v>
      </c>
      <c r="K4">
        <v>214988.3</v>
      </c>
      <c r="M4" t="s">
        <v>3</v>
      </c>
      <c r="N4">
        <v>179579.48</v>
      </c>
      <c r="P4" t="s">
        <v>3</v>
      </c>
      <c r="Q4">
        <v>184240.46</v>
      </c>
      <c r="S4" t="s">
        <v>3</v>
      </c>
      <c r="T4">
        <v>176300.24</v>
      </c>
    </row>
    <row r="5" spans="1:20" x14ac:dyDescent="0.3">
      <c r="A5" t="s">
        <v>4</v>
      </c>
      <c r="B5">
        <v>194999.94</v>
      </c>
      <c r="D5" t="s">
        <v>4</v>
      </c>
      <c r="E5">
        <v>180849.25</v>
      </c>
      <c r="G5" t="s">
        <v>4</v>
      </c>
      <c r="H5">
        <v>174476.28</v>
      </c>
      <c r="J5" t="s">
        <v>4</v>
      </c>
      <c r="K5">
        <v>191544.63</v>
      </c>
      <c r="M5" t="s">
        <v>4</v>
      </c>
      <c r="N5">
        <v>178272.2</v>
      </c>
      <c r="P5" t="s">
        <v>4</v>
      </c>
      <c r="Q5">
        <v>176168.57</v>
      </c>
      <c r="S5" t="s">
        <v>4</v>
      </c>
      <c r="T5">
        <v>185982.38</v>
      </c>
    </row>
    <row r="6" spans="1:20" x14ac:dyDescent="0.3">
      <c r="A6" t="s">
        <v>5</v>
      </c>
      <c r="B6">
        <v>68560.53</v>
      </c>
      <c r="D6" t="s">
        <v>5</v>
      </c>
      <c r="E6">
        <v>73927.75</v>
      </c>
      <c r="G6" t="s">
        <v>5</v>
      </c>
      <c r="H6">
        <v>82046.759999999995</v>
      </c>
      <c r="J6" t="s">
        <v>5</v>
      </c>
      <c r="K6">
        <v>64752.86</v>
      </c>
      <c r="M6" t="s">
        <v>5</v>
      </c>
      <c r="N6">
        <v>67514.66</v>
      </c>
      <c r="P6" t="s">
        <v>5</v>
      </c>
      <c r="Q6">
        <v>92132.17</v>
      </c>
      <c r="S6" t="s">
        <v>5</v>
      </c>
      <c r="T6">
        <v>84005.91</v>
      </c>
    </row>
    <row r="8" spans="1:20" x14ac:dyDescent="0.3">
      <c r="A8" s="8" t="s">
        <v>11</v>
      </c>
      <c r="B8" s="8"/>
    </row>
    <row r="9" spans="1:20" x14ac:dyDescent="0.3">
      <c r="A9" t="s">
        <v>13</v>
      </c>
    </row>
    <row r="10" spans="1:20" x14ac:dyDescent="0.3">
      <c r="A10" t="s">
        <v>12</v>
      </c>
    </row>
    <row r="11" spans="1:20" x14ac:dyDescent="0.3">
      <c r="A11" t="s">
        <v>7</v>
      </c>
    </row>
    <row r="12" spans="1:20" x14ac:dyDescent="0.3">
      <c r="A12" t="s">
        <v>8</v>
      </c>
    </row>
    <row r="13" spans="1:20" x14ac:dyDescent="0.3">
      <c r="A13" t="s">
        <v>9</v>
      </c>
    </row>
    <row r="14" spans="1:20" x14ac:dyDescent="0.3">
      <c r="A14" t="s">
        <v>10</v>
      </c>
    </row>
    <row r="15" spans="1:20" x14ac:dyDescent="0.3">
      <c r="A15" t="s">
        <v>14</v>
      </c>
    </row>
  </sheetData>
  <mergeCells count="8">
    <mergeCell ref="S1:T1"/>
    <mergeCell ref="A8:B8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581D-63D9-4246-831B-DA8445A94871}">
  <dimension ref="B5:C9"/>
  <sheetViews>
    <sheetView zoomScale="114" workbookViewId="0">
      <selection sqref="A1:T6"/>
    </sheetView>
  </sheetViews>
  <sheetFormatPr defaultRowHeight="14.4" x14ac:dyDescent="0.3"/>
  <sheetData>
    <row r="5" spans="2:3" x14ac:dyDescent="0.3">
      <c r="B5" t="str" cm="1">
        <f t="array" ref="B5:C9">_xlfn.IFS(
dashboard!M9='branches data'!A9,'branches data'!A2:B6,
dashboard!M9='branches data'!A10,'branches data'!D2:E6,
dashboard!M9='branches data'!A11,'branches data'!G2:H6,
dashboard!M9='branches data'!A12,'branches data'!J2:K6,
dashboard!M9='branches data'!A13,'branches data'!M2:N6,
dashboard!M9='branches data'!A14,'branches data'!P2:Q6,dashboard!M9='branches data'!A9,'branches data'!A2:B6,dashboard!M9='branches data'!A15,'branches data'!S2:T6)</f>
        <v>month</v>
      </c>
      <c r="C5" t="str">
        <v>sum</v>
      </c>
    </row>
    <row r="6" spans="2:3" x14ac:dyDescent="0.3">
      <c r="B6" t="str">
        <v>January</v>
      </c>
      <c r="C6">
        <v>207055.84</v>
      </c>
    </row>
    <row r="7" spans="2:3" x14ac:dyDescent="0.3">
      <c r="B7" t="str">
        <v>Febuary</v>
      </c>
      <c r="C7">
        <v>173628.26</v>
      </c>
    </row>
    <row r="8" spans="2:3" x14ac:dyDescent="0.3">
      <c r="B8" t="str">
        <v>March</v>
      </c>
      <c r="C8">
        <v>194999.94</v>
      </c>
    </row>
    <row r="9" spans="2:3" x14ac:dyDescent="0.3">
      <c r="B9" t="str">
        <v>April</v>
      </c>
      <c r="C9">
        <v>68560.53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BC56-EA29-4CE9-AC7E-638319BBCAF6}">
  <dimension ref="A1:G8"/>
  <sheetViews>
    <sheetView zoomScale="144" workbookViewId="0">
      <selection sqref="A1:T6"/>
    </sheetView>
  </sheetViews>
  <sheetFormatPr defaultRowHeight="14.4" x14ac:dyDescent="0.3"/>
  <cols>
    <col min="2" max="2" width="9" bestFit="1" customWidth="1"/>
    <col min="3" max="3" width="13.88671875" bestFit="1" customWidth="1"/>
    <col min="7" max="7" width="13.88671875" customWidth="1"/>
  </cols>
  <sheetData>
    <row r="1" spans="1:7" x14ac:dyDescent="0.3">
      <c r="A1" s="8" t="s">
        <v>22</v>
      </c>
      <c r="B1" s="8"/>
      <c r="F1" s="8" t="s">
        <v>23</v>
      </c>
      <c r="G1" s="8"/>
    </row>
    <row r="2" spans="1:7" x14ac:dyDescent="0.3">
      <c r="A2" t="s">
        <v>21</v>
      </c>
      <c r="B2" t="s">
        <v>20</v>
      </c>
      <c r="C2" t="s">
        <v>1</v>
      </c>
      <c r="G2" t="s">
        <v>28</v>
      </c>
    </row>
    <row r="3" spans="1:7" x14ac:dyDescent="0.3">
      <c r="A3" t="s">
        <v>19</v>
      </c>
      <c r="B3">
        <v>2646</v>
      </c>
      <c r="C3" s="3">
        <v>1960627.19</v>
      </c>
      <c r="F3" t="s">
        <v>25</v>
      </c>
      <c r="G3" s="3">
        <v>2193014.6</v>
      </c>
    </row>
    <row r="4" spans="1:7" x14ac:dyDescent="0.3">
      <c r="A4" t="s">
        <v>18</v>
      </c>
      <c r="B4">
        <v>1450</v>
      </c>
      <c r="C4" s="3">
        <v>1066939.71</v>
      </c>
      <c r="F4" t="s">
        <v>24</v>
      </c>
      <c r="G4" s="3">
        <v>2316115.0099999998</v>
      </c>
    </row>
    <row r="5" spans="1:7" x14ac:dyDescent="0.3">
      <c r="A5" t="s">
        <v>17</v>
      </c>
      <c r="B5">
        <v>1413</v>
      </c>
      <c r="C5" s="3">
        <v>1035473.56</v>
      </c>
    </row>
    <row r="6" spans="1:7" x14ac:dyDescent="0.3">
      <c r="A6" t="s">
        <v>16</v>
      </c>
      <c r="B6">
        <v>671</v>
      </c>
      <c r="C6" s="3">
        <v>478594.16</v>
      </c>
      <c r="F6" t="s">
        <v>27</v>
      </c>
      <c r="G6" t="s">
        <v>26</v>
      </c>
    </row>
    <row r="7" spans="1:7" x14ac:dyDescent="0.3">
      <c r="F7" t="s">
        <v>25</v>
      </c>
      <c r="G7">
        <v>3008</v>
      </c>
    </row>
    <row r="8" spans="1:7" x14ac:dyDescent="0.3">
      <c r="F8" t="s">
        <v>24</v>
      </c>
      <c r="G8">
        <v>3134</v>
      </c>
    </row>
  </sheetData>
  <mergeCells count="2">
    <mergeCell ref="A1:B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EEC2-FAEE-467E-9E8E-C87B8660D5D9}">
  <dimension ref="A1:B5"/>
  <sheetViews>
    <sheetView zoomScale="179" workbookViewId="0">
      <selection sqref="A1:T6"/>
    </sheetView>
  </sheetViews>
  <sheetFormatPr defaultRowHeight="14.4" x14ac:dyDescent="0.3"/>
  <cols>
    <col min="2" max="2" width="14.33203125" bestFit="1" customWidth="1"/>
  </cols>
  <sheetData>
    <row r="1" spans="1:2" x14ac:dyDescent="0.3">
      <c r="A1" t="s">
        <v>0</v>
      </c>
      <c r="B1" t="s">
        <v>30</v>
      </c>
    </row>
    <row r="2" spans="1:2" x14ac:dyDescent="0.3">
      <c r="A2" t="s">
        <v>15</v>
      </c>
      <c r="B2" s="3">
        <v>1583952.14</v>
      </c>
    </row>
    <row r="3" spans="1:2" x14ac:dyDescent="0.3">
      <c r="A3" t="s">
        <v>29</v>
      </c>
      <c r="B3" s="3">
        <v>1477780.87</v>
      </c>
    </row>
    <row r="4" spans="1:2" x14ac:dyDescent="0.3">
      <c r="A4" t="s">
        <v>4</v>
      </c>
      <c r="B4" s="3">
        <v>1467898.66</v>
      </c>
    </row>
    <row r="5" spans="1:2" x14ac:dyDescent="0.3">
      <c r="A5" t="s">
        <v>5</v>
      </c>
      <c r="B5" s="3">
        <v>602674.4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19C9-43D7-4B73-84A8-96F042F1BA63}">
  <dimension ref="E1:AE22"/>
  <sheetViews>
    <sheetView showGridLines="0" showRowColHeaders="0" tabSelected="1" zoomScale="29" zoomScaleNormal="70" workbookViewId="0">
      <selection activeCell="AL5" sqref="AL5"/>
    </sheetView>
  </sheetViews>
  <sheetFormatPr defaultRowHeight="14.4" x14ac:dyDescent="0.3"/>
  <sheetData>
    <row r="1" spans="5:31" ht="14.4" customHeight="1" x14ac:dyDescent="0.3"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5:31" ht="14.4" customHeight="1" x14ac:dyDescent="0.3"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5:31" ht="14.4" customHeight="1" x14ac:dyDescent="0.3"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5:31" ht="14.4" customHeight="1" x14ac:dyDescent="0.3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5:31" ht="14.4" customHeight="1" x14ac:dyDescent="0.3"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5:31" ht="14.4" customHeight="1" x14ac:dyDescent="0.3"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5:31" ht="14.4" customHeight="1" x14ac:dyDescent="0.3">
      <c r="E7" s="4"/>
      <c r="F7" s="4"/>
      <c r="G7" s="4"/>
      <c r="H7" s="4"/>
      <c r="I7" s="4"/>
    </row>
    <row r="8" spans="5:31" ht="14.4" customHeight="1" x14ac:dyDescent="0.3">
      <c r="E8" s="4"/>
      <c r="F8" s="4"/>
      <c r="G8" s="4"/>
      <c r="H8" s="4"/>
      <c r="I8" s="4"/>
    </row>
    <row r="9" spans="5:31" ht="14.4" customHeight="1" x14ac:dyDescent="0.7">
      <c r="E9" s="4"/>
      <c r="F9" s="5"/>
      <c r="G9" s="5"/>
      <c r="H9" s="5"/>
      <c r="I9" s="5"/>
      <c r="M9" s="6" t="s">
        <v>13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5:31" ht="14.4" customHeight="1" x14ac:dyDescent="0.7">
      <c r="E10" s="5"/>
      <c r="F10" s="5"/>
      <c r="G10" s="5"/>
      <c r="H10" s="5"/>
      <c r="I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5:31" ht="14.4" customHeight="1" x14ac:dyDescent="0.3">
      <c r="E11" s="4"/>
      <c r="F11" s="4"/>
      <c r="G11" s="4"/>
      <c r="H11" s="4"/>
      <c r="I11" s="4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5:31" ht="14.4" customHeight="1" x14ac:dyDescent="0.3"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5:31" x14ac:dyDescent="0.3"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5:31" x14ac:dyDescent="0.3"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5:31" ht="14.4" customHeight="1" x14ac:dyDescent="0.3"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5:31" ht="14.4" customHeight="1" x14ac:dyDescent="0.3"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3:31" x14ac:dyDescent="0.3"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3:31" x14ac:dyDescent="0.3"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3:31" x14ac:dyDescent="0.3"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3:31" x14ac:dyDescent="0.3"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3:31" x14ac:dyDescent="0.3"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3:31" x14ac:dyDescent="0.3"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</sheetData>
  <sheetProtection selectLockedCells="1"/>
  <mergeCells count="1">
    <mergeCell ref="M9:AE2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70621B-8C82-4809-B334-A11E374661C5}">
          <x14:formula1>
            <xm:f>'branches data'!$A$9:$A$15</xm:f>
          </x14:formula1>
          <xm:sqref>E10:I10 F9:I9 M9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branches data</vt:lpstr>
      <vt:lpstr>colab branch sales</vt:lpstr>
      <vt:lpstr>customer groups</vt:lpstr>
      <vt:lpstr>sales per month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رضا الشيخ</dc:creator>
  <cp:lastModifiedBy>رضا الشيخ</cp:lastModifiedBy>
  <dcterms:created xsi:type="dcterms:W3CDTF">2026-03-10T18:20:40Z</dcterms:created>
  <dcterms:modified xsi:type="dcterms:W3CDTF">2026-03-12T12:53:19Z</dcterms:modified>
</cp:coreProperties>
</file>